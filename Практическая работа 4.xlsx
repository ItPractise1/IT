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hara/Downloads/"/>
    </mc:Choice>
  </mc:AlternateContent>
  <xr:revisionPtr revIDLastSave="0" documentId="8_{A385044D-9898-FC4D-AB68-E8EAB32FC157}" xr6:coauthVersionLast="47" xr6:coauthVersionMax="47" xr10:uidLastSave="{00000000-0000-0000-0000-000000000000}"/>
  <bookViews>
    <workbookView xWindow="0" yWindow="760" windowWidth="34200" windowHeight="20140" xr2:uid="{00000000-000D-0000-FFFF-FFFF00000000}"/>
  </bookViews>
  <sheets>
    <sheet name="Зарплата" sheetId="1" r:id="rId1"/>
    <sheet name="Товары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E2" i="2"/>
  <c r="G2" i="2" s="1"/>
  <c r="B7" i="1"/>
  <c r="D6" i="1"/>
  <c r="E6" i="1" s="1"/>
  <c r="D5" i="1"/>
  <c r="D4" i="1"/>
  <c r="E4" i="1" s="1"/>
  <c r="D3" i="1"/>
  <c r="K2" i="1"/>
  <c r="J2" i="1"/>
  <c r="D2" i="1"/>
  <c r="E2" i="1" s="1"/>
  <c r="F3" i="2" l="1"/>
  <c r="F4" i="1"/>
  <c r="E5" i="1"/>
  <c r="F5" i="1" s="1"/>
  <c r="F2" i="2"/>
  <c r="F4" i="2"/>
  <c r="F7" i="2" s="1"/>
  <c r="F6" i="1"/>
  <c r="E3" i="1"/>
  <c r="F3" i="1" s="1"/>
  <c r="F2" i="1"/>
  <c r="D7" i="1"/>
  <c r="F5" i="2"/>
  <c r="F7" i="1" l="1"/>
  <c r="B11" i="1"/>
  <c r="B10" i="1"/>
  <c r="B9" i="1"/>
  <c r="E7" i="1"/>
</calcChain>
</file>

<file path=xl/sharedStrings.xml><?xml version="1.0" encoding="utf-8"?>
<sst xmlns="http://schemas.openxmlformats.org/spreadsheetml/2006/main" count="33" uniqueCount="31">
  <si>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</si>
  <si>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</si>
  <si>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</si>
  <si>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</si>
  <si>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</si>
  <si>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</si>
  <si>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</si>
  <si>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</si>
  <si>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</si>
  <si>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Расчёт коэффициента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</si>
  <si>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</si>
  <si>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</si>
  <si>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</si>
  <si>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</si>
  <si>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</si>
  <si>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</si>
  <si>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</si>
  <si>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</si>
  <si>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</si>
  <si>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</si>
  <si>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 (руб.)</t>
  </si>
  <si>
    <t>Кол-во</t>
  </si>
  <si>
    <t>Скидка (%)</t>
  </si>
  <si>
    <t>Стоимость (руб.)</t>
  </si>
  <si>
    <t>Итого со скидкой (руб.)</t>
  </si>
  <si>
    <t>НДС от стоимости (руб.)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</si>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</sst>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9" fontId="0" fillId="3" borderId="0" xfId="0" applyNumberForma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9" fontId="0" fillId="4" borderId="0" xfId="0" applyNumberForma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cols>
    <col min="1" max="1" width="19" customWidth="1"/>
    <col min="2" max="2" width="17" customWidth="1"/>
    <col min="3" max="3" width="12" customWidth="1"/>
    <col min="4" max="5" width="15" customWidth="1"/>
    <col min="6" max="6" width="13" customWidth="1"/>
    <col min="7" max="7" width="12" customWidth="1"/>
    <col min="8" max="9" width="14" customWidth="1"/>
    <col min="10" max="10" width="21" customWidth="1"/>
    <col min="11" max="11" width="12" customWidth="1"/>
  </cols>
  <sheetData>
    <row r="1" spans="1:11" ht="32" customHeight="1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6" x14ac:dyDescent="0.2">
      <c r="A2" s="2" t="s">
        <v>10</v>
      </c>
      <c r="B2" s="3">
        <v>50000</v>
      </c>
      <c r="C2" s="4">
        <v>20</v>
      </c>
      <c r="D2" s="3">
        <f>B2*C2/100</f>
        <v>10000</v>
      </c>
      <c r="E2" s="3">
        <f>(B2+D2)*$H$2</f>
        <v>9000</v>
      </c>
      <c r="F2" s="3">
        <f>B2+D2-E2</f>
        <v>51000</v>
      </c>
      <c r="G2" s="2">
        <v>1</v>
      </c>
      <c r="H2" s="7">
        <v>0.15</v>
      </c>
      <c r="I2" s="6">
        <v>1.5</v>
      </c>
      <c r="J2" s="2">
        <f>B2*$I$2</f>
        <v>75000</v>
      </c>
      <c r="K2" s="2">
        <f>B2*$I$2</f>
        <v>75000</v>
      </c>
    </row>
    <row r="3" spans="1:11" ht="16" x14ac:dyDescent="0.2">
      <c r="A3" s="2" t="s">
        <v>11</v>
      </c>
      <c r="B3" s="3">
        <v>45000</v>
      </c>
      <c r="C3" s="4">
        <v>15</v>
      </c>
      <c r="D3" s="3">
        <f>B3*C3/100</f>
        <v>6750</v>
      </c>
      <c r="E3" s="3">
        <f>(B3+D3)*$H$2</f>
        <v>7762.5</v>
      </c>
      <c r="F3" s="3">
        <f>B3+D3-E3</f>
        <v>43987.5</v>
      </c>
      <c r="G3" s="2">
        <v>2</v>
      </c>
      <c r="H3" s="2"/>
      <c r="I3" s="2"/>
      <c r="J3" s="2"/>
      <c r="K3" s="2"/>
    </row>
    <row r="4" spans="1:11" ht="16" x14ac:dyDescent="0.2">
      <c r="A4" s="2" t="s">
        <v>12</v>
      </c>
      <c r="B4" s="3">
        <v>62000</v>
      </c>
      <c r="C4" s="4">
        <v>25</v>
      </c>
      <c r="D4" s="3">
        <f>B4*C4/100</f>
        <v>15500</v>
      </c>
      <c r="E4" s="3">
        <f>(B4+D4)*$H$2</f>
        <v>11625</v>
      </c>
      <c r="F4" s="3">
        <f>B4+D4-E4</f>
        <v>65875</v>
      </c>
      <c r="G4" s="2">
        <v>3</v>
      </c>
      <c r="H4" s="2"/>
      <c r="I4" s="2"/>
      <c r="J4" s="2"/>
      <c r="K4" s="2"/>
    </row>
    <row r="5" spans="1:11" ht="16" x14ac:dyDescent="0.2">
      <c r="A5" s="2" t="s">
        <v>13</v>
      </c>
      <c r="B5" s="3">
        <v>55000</v>
      </c>
      <c r="C5" s="4">
        <v>10</v>
      </c>
      <c r="D5" s="3">
        <f>B5*C5/100</f>
        <v>5500</v>
      </c>
      <c r="E5" s="3">
        <f>(B5+D5)*$H$2</f>
        <v>9075</v>
      </c>
      <c r="F5" s="3">
        <f>B5+D5-E5</f>
        <v>51425</v>
      </c>
      <c r="G5" s="2">
        <v>4</v>
      </c>
      <c r="H5" s="2"/>
      <c r="I5" s="2"/>
      <c r="J5" s="2"/>
      <c r="K5" s="2"/>
    </row>
    <row r="6" spans="1:11" ht="16" x14ac:dyDescent="0.2">
      <c r="A6" s="2" t="s">
        <v>14</v>
      </c>
      <c r="B6" s="3">
        <v>40000</v>
      </c>
      <c r="C6" s="4">
        <v>30</v>
      </c>
      <c r="D6" s="3">
        <f>B6*C6/100</f>
        <v>12000</v>
      </c>
      <c r="E6" s="3">
        <f>(B6+D6)*$H$2</f>
        <v>7800</v>
      </c>
      <c r="F6" s="3">
        <f>B6+D6-E6</f>
        <v>44200</v>
      </c>
      <c r="G6" s="2">
        <v>5</v>
      </c>
      <c r="H6" s="2"/>
      <c r="I6" s="2"/>
      <c r="J6" s="2"/>
      <c r="K6" s="2"/>
    </row>
    <row r="7" spans="1:11" ht="16" x14ac:dyDescent="0.2">
      <c r="A7" s="2" t="s">
        <v>15</v>
      </c>
      <c r="B7" s="3">
        <f>SUM(B2:B6)</f>
        <v>252000</v>
      </c>
      <c r="C7" s="2"/>
      <c r="D7" s="3">
        <f>SUM(D2:D6)</f>
        <v>49750</v>
      </c>
      <c r="E7" s="3">
        <f>SUM(E2:E6)</f>
        <v>45262.5</v>
      </c>
      <c r="F7" s="3">
        <f>SUM(F2:F6)</f>
        <v>256487.5</v>
      </c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6" x14ac:dyDescent="0.2">
      <c r="A9" s="2" t="s">
        <v>16</v>
      </c>
      <c r="B9" s="3">
        <f>AVERAGE(F2:F6)</f>
        <v>51297.5</v>
      </c>
      <c r="C9" s="2"/>
      <c r="D9" s="2"/>
      <c r="E9" s="2"/>
      <c r="F9" s="2"/>
      <c r="G9" s="2"/>
      <c r="H9" s="2"/>
      <c r="I9" s="2"/>
      <c r="J9" s="2"/>
      <c r="K9" s="2"/>
    </row>
    <row r="10" spans="1:11" ht="16" x14ac:dyDescent="0.2">
      <c r="A10" s="2" t="s">
        <v>17</v>
      </c>
      <c r="B10" s="3">
        <f>MAX(F2:F6)</f>
        <v>65875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ht="16" x14ac:dyDescent="0.2">
      <c r="A11" s="2" t="s">
        <v>18</v>
      </c>
      <c r="B11" s="3">
        <f>MIN(F2:F6)</f>
        <v>43987.5</v>
      </c>
      <c r="C11" s="2"/>
      <c r="D11" s="2"/>
      <c r="E11" s="2"/>
      <c r="F11" s="2"/>
      <c r="G11" s="2"/>
      <c r="H11" s="2"/>
      <c r="I11" s="2"/>
      <c r="J11" s="2"/>
      <c r="K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4" width="12" customWidth="1"/>
    <col min="5" max="5" width="18" customWidth="1"/>
    <col min="6" max="6" width="25" customWidth="1"/>
    <col min="7" max="7" width="12" customWidth="1"/>
    <col min="8" max="8" width="13" customWidth="1"/>
    <col min="9" max="9" width="12" customWidth="1"/>
  </cols>
  <sheetData>
    <row r="1" spans="1:9" ht="32" customHeight="1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26</v>
      </c>
    </row>
    <row r="2" spans="1:9" ht="16" x14ac:dyDescent="0.2">
      <c r="A2" s="2" t="s">
        <v>27</v>
      </c>
      <c r="B2" s="3">
        <v>45000</v>
      </c>
      <c r="C2" s="4">
        <v>5</v>
      </c>
      <c r="D2" s="4">
        <v>5</v>
      </c>
      <c r="E2" s="3">
        <f>B2*C2</f>
        <v>225000</v>
      </c>
      <c r="F2" s="3">
        <f>E2*(1-D2/100)</f>
        <v>213750</v>
      </c>
      <c r="G2" s="3">
        <f>E2*$I$2</f>
        <v>45000</v>
      </c>
      <c r="H2" s="2"/>
      <c r="I2" s="5">
        <v>0.2</v>
      </c>
    </row>
    <row r="3" spans="1:9" ht="16" x14ac:dyDescent="0.2">
      <c r="A3" s="2" t="s">
        <v>28</v>
      </c>
      <c r="B3" s="3">
        <v>18000</v>
      </c>
      <c r="C3" s="4">
        <v>10</v>
      </c>
      <c r="D3" s="4">
        <v>3</v>
      </c>
      <c r="E3" s="3">
        <f>B3*C3</f>
        <v>180000</v>
      </c>
      <c r="F3" s="3">
        <f>E3*(1-D3/100)</f>
        <v>174600</v>
      </c>
      <c r="G3" s="3">
        <f>E3*$I$2</f>
        <v>36000</v>
      </c>
      <c r="H3" s="2"/>
      <c r="I3" s="2"/>
    </row>
    <row r="4" spans="1:9" ht="16" x14ac:dyDescent="0.2">
      <c r="A4" s="2" t="s">
        <v>29</v>
      </c>
      <c r="B4" s="3">
        <v>1500</v>
      </c>
      <c r="C4" s="4">
        <v>25</v>
      </c>
      <c r="D4" s="4">
        <v>10</v>
      </c>
      <c r="E4" s="3">
        <f>B4*C4</f>
        <v>37500</v>
      </c>
      <c r="F4" s="3">
        <f>E4*(1-D4/100)</f>
        <v>33750</v>
      </c>
      <c r="G4" s="3">
        <f>E4*$I$2</f>
        <v>7500</v>
      </c>
      <c r="H4" s="2"/>
      <c r="I4" s="2"/>
    </row>
    <row r="5" spans="1:9" ht="16" x14ac:dyDescent="0.2">
      <c r="A5" s="2" t="s">
        <v>30</v>
      </c>
      <c r="B5" s="3">
        <v>800</v>
      </c>
      <c r="C5" s="4">
        <v>30</v>
      </c>
      <c r="D5" s="4">
        <v>7</v>
      </c>
      <c r="E5" s="3">
        <f>B5*C5</f>
        <v>24000</v>
      </c>
      <c r="F5" s="3">
        <f>E5*(1-D5/100)</f>
        <v>22320</v>
      </c>
      <c r="G5" s="3">
        <f>E5*$I$2</f>
        <v>4800</v>
      </c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ht="16" x14ac:dyDescent="0.2">
      <c r="A7" s="2" t="s">
        <v>15</v>
      </c>
      <c r="B7" s="2"/>
      <c r="C7" s="2"/>
      <c r="D7" s="2"/>
      <c r="E7" s="2"/>
      <c r="F7" s="3">
        <f>SUM(F2:F5)</f>
        <v>444420</v>
      </c>
      <c r="G7" s="2"/>
      <c r="H7" s="2"/>
      <c r="I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</cp:lastModifiedBy>
  <dcterms:created xsi:type="dcterms:W3CDTF">2026-10-13T10:10:35Z</dcterms:created>
  <dcterms:modified xsi:type="dcterms:W3CDTF">2026-10-13T10:16:34Z</dcterms:modified>
</cp:coreProperties>
</file>